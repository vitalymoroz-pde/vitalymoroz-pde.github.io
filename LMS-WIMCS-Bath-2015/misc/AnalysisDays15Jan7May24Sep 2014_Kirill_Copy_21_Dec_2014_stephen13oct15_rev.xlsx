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Dropbox\www\v.moroz\LMS-WIMCS-Bath-2015\misc\"/>
    </mc:Choice>
  </mc:AlternateContent>
  <bookViews>
    <workbookView xWindow="3165" yWindow="855" windowWidth="15480" windowHeight="11640"/>
  </bookViews>
  <sheets>
    <sheet name="Sheet1" sheetId="1" r:id="rId1"/>
    <sheet name="Sheet2" sheetId="2" r:id="rId2"/>
    <sheet name="Sheet3" sheetId="3" r:id="rId3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1" i="1" l="1"/>
  <c r="G71" i="1"/>
  <c r="K71" i="1" s="1"/>
  <c r="K73" i="1" s="1"/>
  <c r="K83" i="1" s="1"/>
  <c r="E47" i="1"/>
  <c r="G47" i="1"/>
  <c r="E32" i="1"/>
  <c r="E17" i="1"/>
  <c r="G17" i="1" s="1"/>
  <c r="G32" i="1"/>
  <c r="G49" i="1" l="1"/>
  <c r="G51" i="1" s="1"/>
  <c r="G55" i="1" s="1"/>
</calcChain>
</file>

<file path=xl/sharedStrings.xml><?xml version="1.0" encoding="utf-8"?>
<sst xmlns="http://schemas.openxmlformats.org/spreadsheetml/2006/main" count="103" uniqueCount="74">
  <si>
    <t>Name</t>
  </si>
  <si>
    <t>Claim</t>
  </si>
  <si>
    <t>Analysis Meetings Funded by £1439 LMS money and £2000 Analysis Funds- F.12.12</t>
  </si>
  <si>
    <t>Kirill Cherednichenko/ Gennady Mishuris/Marletta/ Moroz</t>
  </si>
  <si>
    <t>Alexander Zagnetko</t>
  </si>
  <si>
    <t>Inst.</t>
  </si>
  <si>
    <t>A</t>
  </si>
  <si>
    <t>Dr Rolf Gohm</t>
  </si>
  <si>
    <t>Prof Sergei Rogosin</t>
  </si>
  <si>
    <t>Dr Johannes Zimmer</t>
  </si>
  <si>
    <t>Bath</t>
  </si>
  <si>
    <t xml:space="preserve">Daniel Peck </t>
  </si>
  <si>
    <t>Daria Andreeva</t>
  </si>
  <si>
    <t>S</t>
  </si>
  <si>
    <t>Prof M Marletta</t>
  </si>
  <si>
    <t>C</t>
  </si>
  <si>
    <t>Inst</t>
  </si>
  <si>
    <t>Cardiff Analysis Day 15/1/14</t>
  </si>
  <si>
    <t>Aberystwyth LMS-WIMCS Analysis Day 7/5/2014</t>
  </si>
  <si>
    <t>Lunch 15/1/14 1098071 3/4</t>
  </si>
  <si>
    <t>Dr Carlo Mercuri</t>
  </si>
  <si>
    <t>Dr Angela Mihai</t>
  </si>
  <si>
    <t>Dr Elaine Crooks</t>
  </si>
  <si>
    <t>Prof Norman Dancer</t>
  </si>
  <si>
    <t>Dr Vitaly Moroz</t>
  </si>
  <si>
    <t>Dr Apal Majundar</t>
  </si>
  <si>
    <t>Dr K Cherednichenko</t>
  </si>
  <si>
    <t>Swansea Analysis Day 24/9/14</t>
  </si>
  <si>
    <t>Dr Adam Vellender</t>
  </si>
  <si>
    <t>Juan Gonzalez</t>
  </si>
  <si>
    <t>Prof Gennady Mishuris</t>
  </si>
  <si>
    <t>Dr Michael Nieves</t>
  </si>
  <si>
    <t>Liverpool</t>
  </si>
  <si>
    <t>Dr Jonathan Eckhardt</t>
  </si>
  <si>
    <t>Total Expenditure</t>
  </si>
  <si>
    <t>£</t>
  </si>
  <si>
    <t>Misc accommodation</t>
  </si>
  <si>
    <t>Catering (lunch and dinner)</t>
  </si>
  <si>
    <t>Part of Michael Nieves' travel</t>
  </si>
  <si>
    <t>Car rental for K Cherednichenko</t>
  </si>
  <si>
    <t>Balance from £3439</t>
  </si>
  <si>
    <t>Balance</t>
  </si>
  <si>
    <t>Cardiff Invoice for Dr Mikhail Cherdantsev</t>
  </si>
  <si>
    <t>received 6/1/15</t>
  </si>
  <si>
    <t>Cardiff Invoice Car Hire Cherednichenko</t>
  </si>
  <si>
    <t>received 20/1/15</t>
  </si>
  <si>
    <t>received 11/12/14</t>
  </si>
  <si>
    <t>(at 20/1/15)</t>
  </si>
  <si>
    <t>Refund to LMS -paid by Kirill</t>
  </si>
  <si>
    <t>New grant application to LMS - see Marletta email 13/3/15 - £2000</t>
  </si>
  <si>
    <t>Swansea  Analysis Day 20/3/15</t>
  </si>
  <si>
    <t>Dr Lucia Scardia</t>
  </si>
  <si>
    <t>Gennaro Vitucci</t>
  </si>
  <si>
    <t>with Nikolai Garbushin</t>
  </si>
  <si>
    <t>Dr Alexander Kiselev</t>
  </si>
  <si>
    <t>Dr Kirill Cherednichenko</t>
  </si>
  <si>
    <t>Aber Tea/coffee/dinner</t>
  </si>
  <si>
    <t>20052503 10/12/14</t>
  </si>
  <si>
    <t>Cardiff 1121924 9/1/15</t>
  </si>
  <si>
    <t>Swansea Catering</t>
  </si>
  <si>
    <t>reclaimed on personal expenses March 2015</t>
  </si>
  <si>
    <t>Prof Geoffrey Burton</t>
  </si>
  <si>
    <t>Aberystwyth Analysis Day 27/5/15</t>
  </si>
  <si>
    <t>Swansea</t>
  </si>
  <si>
    <t>with Dr Andrew Neate, Peter Gordon, Carlo Mercuri</t>
  </si>
  <si>
    <t>c/f</t>
  </si>
  <si>
    <t>Cardiff Analysis Day 25/9/15</t>
  </si>
  <si>
    <t>Jan Kristensen</t>
  </si>
  <si>
    <t>Oxford</t>
  </si>
  <si>
    <t>Karsten Matthies</t>
  </si>
  <si>
    <t>Wedad Salem Alhalawi</t>
  </si>
  <si>
    <t>Shane Cooper</t>
  </si>
  <si>
    <t>Chippenham</t>
  </si>
  <si>
    <t>Current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</si>
</sst>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topLeftCell="A55" workbookViewId="0">
      <selection activeCell="K83" sqref="K83"/>
    </sheetView>
  </sheetViews>
  <sheetFormatPr defaultColWidth="8.85546875" defaultRowHeight="15" x14ac:dyDescent="0.25"/>
  <sheetData>
    <row r="1" spans="1:5" x14ac:dyDescent="0.25">
      <c r="A1" t="s">
        <v>3</v>
      </c>
    </row>
    <row r="3" spans="1:5" x14ac:dyDescent="0.25">
      <c r="A3" s="2" t="s">
        <v>2</v>
      </c>
    </row>
    <row r="5" spans="1:5" x14ac:dyDescent="0.25">
      <c r="A5" t="s">
        <v>17</v>
      </c>
    </row>
    <row r="7" spans="1:5" x14ac:dyDescent="0.25">
      <c r="A7" t="s">
        <v>0</v>
      </c>
      <c r="D7" t="s">
        <v>5</v>
      </c>
      <c r="E7" t="s">
        <v>1</v>
      </c>
    </row>
    <row r="8" spans="1:5" x14ac:dyDescent="0.25">
      <c r="A8" t="s">
        <v>4</v>
      </c>
      <c r="D8" t="s">
        <v>6</v>
      </c>
      <c r="E8" s="1">
        <v>178.95</v>
      </c>
    </row>
    <row r="9" spans="1:5" x14ac:dyDescent="0.25">
      <c r="A9" t="s">
        <v>7</v>
      </c>
      <c r="D9" t="s">
        <v>6</v>
      </c>
      <c r="E9" s="1">
        <v>111.75</v>
      </c>
    </row>
    <row r="10" spans="1:5" x14ac:dyDescent="0.25">
      <c r="A10" t="s">
        <v>8</v>
      </c>
      <c r="D10" t="s">
        <v>6</v>
      </c>
      <c r="E10" s="1">
        <v>158.77000000000001</v>
      </c>
    </row>
    <row r="11" spans="1:5" x14ac:dyDescent="0.25">
      <c r="A11" t="s">
        <v>9</v>
      </c>
      <c r="D11" t="s">
        <v>10</v>
      </c>
      <c r="E11" s="1">
        <v>40.799999999999997</v>
      </c>
    </row>
    <row r="12" spans="1:5" x14ac:dyDescent="0.25">
      <c r="A12" t="s">
        <v>11</v>
      </c>
      <c r="D12" t="s">
        <v>6</v>
      </c>
      <c r="E12" s="1">
        <v>87.58</v>
      </c>
    </row>
    <row r="13" spans="1:5" x14ac:dyDescent="0.25">
      <c r="A13" t="s">
        <v>12</v>
      </c>
      <c r="D13" t="s">
        <v>6</v>
      </c>
      <c r="E13" s="1">
        <v>93.25</v>
      </c>
    </row>
    <row r="14" spans="1:5" x14ac:dyDescent="0.25">
      <c r="A14" t="s">
        <v>24</v>
      </c>
      <c r="D14" t="s">
        <v>13</v>
      </c>
      <c r="E14" s="1">
        <v>40.5</v>
      </c>
    </row>
    <row r="15" spans="1:5" x14ac:dyDescent="0.25">
      <c r="A15" t="s">
        <v>14</v>
      </c>
      <c r="D15" t="s">
        <v>15</v>
      </c>
      <c r="E15" s="1">
        <v>74.62</v>
      </c>
    </row>
    <row r="16" spans="1:5" x14ac:dyDescent="0.25">
      <c r="A16" t="s">
        <v>19</v>
      </c>
      <c r="E16" s="1">
        <v>117.36</v>
      </c>
    </row>
    <row r="17" spans="1:7" x14ac:dyDescent="0.25">
      <c r="E17" s="1">
        <f>SUM(E8:E16)</f>
        <v>903.58</v>
      </c>
      <c r="G17" s="1">
        <f>E17</f>
        <v>903.58</v>
      </c>
    </row>
    <row r="19" spans="1:7" x14ac:dyDescent="0.25">
      <c r="A19" t="s">
        <v>18</v>
      </c>
    </row>
    <row r="21" spans="1:7" x14ac:dyDescent="0.25">
      <c r="A21" t="s">
        <v>0</v>
      </c>
      <c r="D21" t="s">
        <v>16</v>
      </c>
      <c r="E21" t="s">
        <v>1</v>
      </c>
    </row>
    <row r="22" spans="1:7" x14ac:dyDescent="0.25">
      <c r="A22" t="s">
        <v>20</v>
      </c>
      <c r="D22" t="s">
        <v>13</v>
      </c>
      <c r="E22" s="1">
        <v>52</v>
      </c>
    </row>
    <row r="23" spans="1:7" x14ac:dyDescent="0.25">
      <c r="A23" t="s">
        <v>21</v>
      </c>
      <c r="D23" t="s">
        <v>15</v>
      </c>
      <c r="E23" s="1">
        <v>112</v>
      </c>
    </row>
    <row r="24" spans="1:7" x14ac:dyDescent="0.25">
      <c r="A24" t="s">
        <v>22</v>
      </c>
      <c r="D24" t="s">
        <v>13</v>
      </c>
      <c r="E24" s="1">
        <v>52</v>
      </c>
    </row>
    <row r="25" spans="1:7" x14ac:dyDescent="0.25">
      <c r="A25" t="s">
        <v>23</v>
      </c>
      <c r="D25" t="s">
        <v>13</v>
      </c>
      <c r="E25" s="1">
        <v>52</v>
      </c>
    </row>
    <row r="26" spans="1:7" x14ac:dyDescent="0.25">
      <c r="A26" t="s">
        <v>24</v>
      </c>
      <c r="D26" t="s">
        <v>13</v>
      </c>
      <c r="E26" s="1">
        <v>109.9</v>
      </c>
    </row>
    <row r="27" spans="1:7" x14ac:dyDescent="0.25">
      <c r="A27" t="s">
        <v>25</v>
      </c>
      <c r="D27" t="s">
        <v>10</v>
      </c>
      <c r="E27" s="1">
        <v>132.59</v>
      </c>
    </row>
    <row r="28" spans="1:7" x14ac:dyDescent="0.25">
      <c r="A28" t="s">
        <v>26</v>
      </c>
      <c r="D28" t="s">
        <v>15</v>
      </c>
      <c r="E28" s="1">
        <v>89.25</v>
      </c>
    </row>
    <row r="29" spans="1:7" x14ac:dyDescent="0.25">
      <c r="A29" t="s">
        <v>56</v>
      </c>
      <c r="E29" s="1">
        <v>135.97</v>
      </c>
      <c r="G29" t="s">
        <v>57</v>
      </c>
    </row>
    <row r="30" spans="1:7" x14ac:dyDescent="0.25">
      <c r="A30" t="s">
        <v>39</v>
      </c>
      <c r="E30" s="1">
        <v>53.18</v>
      </c>
      <c r="G30" t="s">
        <v>58</v>
      </c>
    </row>
    <row r="31" spans="1:7" x14ac:dyDescent="0.25">
      <c r="E31" s="1"/>
    </row>
    <row r="32" spans="1:7" x14ac:dyDescent="0.25">
      <c r="E32" s="1">
        <f>SUM(E22:E30)</f>
        <v>788.89</v>
      </c>
      <c r="G32" s="1">
        <f>E32</f>
        <v>788.89</v>
      </c>
    </row>
    <row r="33" spans="1:7" x14ac:dyDescent="0.25">
      <c r="E33" s="1"/>
    </row>
    <row r="34" spans="1:7" x14ac:dyDescent="0.25">
      <c r="A34" t="s">
        <v>27</v>
      </c>
    </row>
    <row r="36" spans="1:7" x14ac:dyDescent="0.25">
      <c r="A36" t="s">
        <v>28</v>
      </c>
      <c r="D36" t="s">
        <v>6</v>
      </c>
      <c r="E36" s="1">
        <v>61.9</v>
      </c>
    </row>
    <row r="37" spans="1:7" x14ac:dyDescent="0.25">
      <c r="A37" t="s">
        <v>29</v>
      </c>
      <c r="D37" t="s">
        <v>15</v>
      </c>
      <c r="E37" s="1">
        <v>25.95</v>
      </c>
    </row>
    <row r="38" spans="1:7" x14ac:dyDescent="0.25">
      <c r="A38" t="s">
        <v>33</v>
      </c>
      <c r="D38" t="s">
        <v>15</v>
      </c>
      <c r="E38" s="1">
        <v>16.8</v>
      </c>
    </row>
    <row r="39" spans="1:7" x14ac:dyDescent="0.25">
      <c r="A39" t="s">
        <v>30</v>
      </c>
      <c r="D39" t="s">
        <v>6</v>
      </c>
      <c r="E39" s="1">
        <v>92.52</v>
      </c>
    </row>
    <row r="40" spans="1:7" x14ac:dyDescent="0.25">
      <c r="A40" t="s">
        <v>31</v>
      </c>
      <c r="D40" t="s">
        <v>32</v>
      </c>
      <c r="E40" s="1">
        <v>118.04</v>
      </c>
    </row>
    <row r="41" spans="1:7" x14ac:dyDescent="0.25">
      <c r="A41" t="s">
        <v>26</v>
      </c>
      <c r="D41" t="s">
        <v>15</v>
      </c>
      <c r="E41" s="1">
        <v>42.7</v>
      </c>
    </row>
    <row r="42" spans="1:7" x14ac:dyDescent="0.25">
      <c r="A42" t="s">
        <v>36</v>
      </c>
      <c r="E42" s="1">
        <v>300</v>
      </c>
    </row>
    <row r="43" spans="1:7" x14ac:dyDescent="0.25">
      <c r="A43" t="s">
        <v>37</v>
      </c>
      <c r="E43" s="1">
        <v>300</v>
      </c>
    </row>
    <row r="44" spans="1:7" x14ac:dyDescent="0.25">
      <c r="A44" t="s">
        <v>38</v>
      </c>
      <c r="E44" s="1">
        <v>49.1</v>
      </c>
      <c r="G44" t="s">
        <v>46</v>
      </c>
    </row>
    <row r="45" spans="1:7" x14ac:dyDescent="0.25">
      <c r="A45" t="s">
        <v>42</v>
      </c>
      <c r="E45" s="1">
        <v>70.599999999999994</v>
      </c>
      <c r="G45" t="s">
        <v>43</v>
      </c>
    </row>
    <row r="46" spans="1:7" x14ac:dyDescent="0.25">
      <c r="A46" t="s">
        <v>44</v>
      </c>
      <c r="E46" s="1">
        <v>53.18</v>
      </c>
      <c r="G46" t="s">
        <v>45</v>
      </c>
    </row>
    <row r="47" spans="1:7" x14ac:dyDescent="0.25">
      <c r="E47" s="1">
        <f>SUM(E36:E46)</f>
        <v>1130.79</v>
      </c>
      <c r="G47" s="1">
        <f>E47</f>
        <v>1130.79</v>
      </c>
    </row>
    <row r="49" spans="1:11" x14ac:dyDescent="0.25">
      <c r="A49" t="s">
        <v>34</v>
      </c>
      <c r="C49" t="s">
        <v>47</v>
      </c>
      <c r="F49" s="3" t="s">
        <v>35</v>
      </c>
      <c r="G49" s="1">
        <f>SUM(G17:G48)</f>
        <v>2823.26</v>
      </c>
    </row>
    <row r="51" spans="1:11" x14ac:dyDescent="0.25">
      <c r="C51" t="s">
        <v>40</v>
      </c>
      <c r="G51" s="1">
        <f>3429-G49</f>
        <v>605.73999999999978</v>
      </c>
    </row>
    <row r="53" spans="1:11" x14ac:dyDescent="0.25">
      <c r="B53" t="s">
        <v>48</v>
      </c>
      <c r="G53">
        <v>334.17</v>
      </c>
      <c r="I53" t="s">
        <v>60</v>
      </c>
    </row>
    <row r="55" spans="1:11" x14ac:dyDescent="0.25">
      <c r="C55" t="s">
        <v>41</v>
      </c>
      <c r="G55" s="1">
        <f>G51-G53</f>
        <v>271.56999999999977</v>
      </c>
      <c r="J55" t="s">
        <v>65</v>
      </c>
      <c r="K55">
        <v>271.57</v>
      </c>
    </row>
    <row r="58" spans="1:11" x14ac:dyDescent="0.25">
      <c r="A58" s="2" t="s">
        <v>49</v>
      </c>
      <c r="K58">
        <v>2000</v>
      </c>
    </row>
    <row r="60" spans="1:11" x14ac:dyDescent="0.25">
      <c r="A60" t="s">
        <v>50</v>
      </c>
    </row>
    <row r="61" spans="1:11" x14ac:dyDescent="0.25">
      <c r="A61" t="s">
        <v>59</v>
      </c>
      <c r="G61" s="1">
        <v>345</v>
      </c>
    </row>
    <row r="62" spans="1:11" x14ac:dyDescent="0.25">
      <c r="A62" t="s">
        <v>51</v>
      </c>
      <c r="D62" t="s">
        <v>10</v>
      </c>
      <c r="G62" s="1">
        <v>52.2</v>
      </c>
    </row>
    <row r="63" spans="1:11" x14ac:dyDescent="0.25">
      <c r="A63" t="s">
        <v>52</v>
      </c>
      <c r="D63" t="s">
        <v>6</v>
      </c>
      <c r="G63" s="1">
        <v>39.5</v>
      </c>
      <c r="I63" t="s">
        <v>53</v>
      </c>
    </row>
    <row r="64" spans="1:11" x14ac:dyDescent="0.25">
      <c r="A64" t="s">
        <v>54</v>
      </c>
      <c r="D64" t="s">
        <v>10</v>
      </c>
      <c r="G64" s="1">
        <v>45.2</v>
      </c>
    </row>
    <row r="65" spans="1:11" x14ac:dyDescent="0.25">
      <c r="A65" t="s">
        <v>55</v>
      </c>
      <c r="D65" t="s">
        <v>10</v>
      </c>
      <c r="G65" s="1">
        <v>42.7</v>
      </c>
    </row>
    <row r="66" spans="1:11" x14ac:dyDescent="0.25">
      <c r="G66" s="1"/>
    </row>
    <row r="67" spans="1:11" x14ac:dyDescent="0.25">
      <c r="A67" t="s">
        <v>62</v>
      </c>
      <c r="G67" s="1"/>
    </row>
    <row r="68" spans="1:11" x14ac:dyDescent="0.25">
      <c r="A68" t="s">
        <v>61</v>
      </c>
      <c r="D68" t="s">
        <v>10</v>
      </c>
      <c r="G68" s="1">
        <v>185.5</v>
      </c>
    </row>
    <row r="69" spans="1:11" x14ac:dyDescent="0.25">
      <c r="A69" t="s">
        <v>24</v>
      </c>
      <c r="D69" t="s">
        <v>63</v>
      </c>
      <c r="G69" s="1">
        <v>317.89999999999998</v>
      </c>
      <c r="I69" t="s">
        <v>64</v>
      </c>
    </row>
    <row r="70" spans="1:11" x14ac:dyDescent="0.25">
      <c r="G70" s="1"/>
    </row>
    <row r="71" spans="1:11" x14ac:dyDescent="0.25">
      <c r="G71" s="1">
        <f>SUM(G61:G70)</f>
        <v>1028</v>
      </c>
      <c r="K71" s="1">
        <f>G71</f>
        <v>1028</v>
      </c>
    </row>
    <row r="72" spans="1:11" x14ac:dyDescent="0.25">
      <c r="E72" s="1"/>
    </row>
    <row r="73" spans="1:11" x14ac:dyDescent="0.25">
      <c r="E73" s="1"/>
      <c r="G73" t="s">
        <v>41</v>
      </c>
      <c r="K73" s="1">
        <f>K55+K58-K71</f>
        <v>1243.5700000000002</v>
      </c>
    </row>
    <row r="74" spans="1:11" x14ac:dyDescent="0.25">
      <c r="E74" s="1"/>
    </row>
    <row r="75" spans="1:11" x14ac:dyDescent="0.25">
      <c r="A75" t="s">
        <v>66</v>
      </c>
    </row>
    <row r="76" spans="1:11" x14ac:dyDescent="0.25">
      <c r="A76" t="s">
        <v>67</v>
      </c>
      <c r="D76" t="s">
        <v>68</v>
      </c>
      <c r="G76" s="1">
        <v>66</v>
      </c>
    </row>
    <row r="77" spans="1:11" x14ac:dyDescent="0.25">
      <c r="A77" t="s">
        <v>69</v>
      </c>
      <c r="D77" t="s">
        <v>10</v>
      </c>
      <c r="G77" s="1">
        <v>22.7</v>
      </c>
    </row>
    <row r="78" spans="1:11" x14ac:dyDescent="0.25">
      <c r="A78" t="s">
        <v>70</v>
      </c>
      <c r="D78" t="s">
        <v>63</v>
      </c>
      <c r="G78" s="1">
        <v>26.35</v>
      </c>
    </row>
    <row r="79" spans="1:11" x14ac:dyDescent="0.25">
      <c r="A79" t="s">
        <v>71</v>
      </c>
      <c r="D79" t="s">
        <v>72</v>
      </c>
      <c r="G79" s="1">
        <v>30.7</v>
      </c>
    </row>
    <row r="80" spans="1:11" x14ac:dyDescent="0.25">
      <c r="G80" s="1"/>
    </row>
    <row r="81" spans="7:11" x14ac:dyDescent="0.25">
      <c r="G81" s="1">
        <f>SUM(G76:G80)</f>
        <v>145.75</v>
      </c>
    </row>
    <row r="82" spans="7:11" x14ac:dyDescent="0.25">
      <c r="G82" s="1"/>
    </row>
    <row r="83" spans="7:11" x14ac:dyDescent="0.25">
      <c r="G83" s="1" t="s">
        <v>73</v>
      </c>
      <c r="K83" s="1">
        <f>K73-G81</f>
        <v>1097.8200000000002</v>
      </c>
    </row>
    <row r="84" spans="7:11" x14ac:dyDescent="0.25">
      <c r="G84" s="1"/>
    </row>
    <row r="85" spans="7:11" x14ac:dyDescent="0.25">
      <c r="G85" s="1"/>
    </row>
  </sheetData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Swansea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s.a.williamson</dc:creator>
  <cp:lastModifiedBy>v.moroz</cp:lastModifiedBy>
  <cp:lastPrinted>2015-10-15T11:17:07Z</cp:lastPrinted>
  <dcterms:created xsi:type="dcterms:W3CDTF">2014-04-02T07:49:56Z</dcterms:created>
  <dcterms:modified xsi:type="dcterms:W3CDTF">2015-10-15T13:57:03Z</dcterms:modified>
</cp:coreProperties>
</file>