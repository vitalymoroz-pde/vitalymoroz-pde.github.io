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15195" windowHeight="819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G41" i="1"/>
  <c r="G39"/>
  <c r="G29"/>
  <c r="G17"/>
  <c r="E39"/>
  <c r="E29"/>
  <c r="E17"/>
</calcChain>
</file>

<file path=xl/sharedStrings.xml><?xml version="1.0" encoding="utf-8"?>
<sst xmlns="http://schemas.openxmlformats.org/spreadsheetml/2006/main" count="57" uniqueCount="37">
  <si>
    <t>Name</t>
  </si>
  <si>
    <t>Claim</t>
  </si>
  <si>
    <t>Analysis Meetings Funded by £1439 LMS money and £2000 Analysis Funds- F.12.12</t>
  </si>
  <si>
    <t>Kirill Cherednichenko/ Gennady Mishuris/Marletta/ Moroz</t>
  </si>
  <si>
    <t>Alexander Zagnetko</t>
  </si>
  <si>
    <t>Inst.</t>
  </si>
  <si>
    <t>A</t>
  </si>
  <si>
    <t>Dr Rolf Gohm</t>
  </si>
  <si>
    <t>Prof Sergei Rogosin</t>
  </si>
  <si>
    <t>Dr Johannes Zimmer</t>
  </si>
  <si>
    <t>Bath</t>
  </si>
  <si>
    <t xml:space="preserve">Daniel Peck </t>
  </si>
  <si>
    <t>Daria Andreeva</t>
  </si>
  <si>
    <t>S</t>
  </si>
  <si>
    <t>Prof M Marletta</t>
  </si>
  <si>
    <t>C</t>
  </si>
  <si>
    <t>Inst</t>
  </si>
  <si>
    <t>Cardiff Analysis Day 15/1/14</t>
  </si>
  <si>
    <t>Aberystwyth LMS-WIMCS Analysis Day 7/5/2014</t>
  </si>
  <si>
    <t>Lunch 15/1/14 1098071 3/4</t>
  </si>
  <si>
    <t>Dr Carlo Mercuri</t>
  </si>
  <si>
    <t>Dr Angela Mihai</t>
  </si>
  <si>
    <t>Dr Elaine Crooks</t>
  </si>
  <si>
    <t>Prof Norman Dancer</t>
  </si>
  <si>
    <t>Dr Vitaly Moroz</t>
  </si>
  <si>
    <t>Dr Apal Majundar</t>
  </si>
  <si>
    <t>Dr K Cherednichenko</t>
  </si>
  <si>
    <t>Swansea Analysis Day 24/9/14</t>
  </si>
  <si>
    <t>Dr Adam Vellender</t>
  </si>
  <si>
    <t>Juan Gonzalez</t>
  </si>
  <si>
    <t>Prof Gennady Mishuris</t>
  </si>
  <si>
    <t>Dr Michael Nieves</t>
  </si>
  <si>
    <t>Liverpool</t>
  </si>
  <si>
    <t>Dr Jonathan Eckhardt</t>
  </si>
  <si>
    <t>Total Expenditure</t>
  </si>
  <si>
    <t>(at 13/11/14)</t>
  </si>
  <si>
    <t>£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</si>
</sst>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topLeftCell="A26" workbookViewId="0">
      <selection activeCell="G41" sqref="G41"/>
    </sheetView>
  </sheetViews>
  <sheetFormatPr defaultRowHeight="15"/>
  <sheetData>
    <row r="1" spans="1:5">
      <c r="A1" t="s">
        <v>3</v>
      </c>
    </row>
    <row r="3" spans="1:5">
      <c r="A3" s="2" t="s">
        <v>2</v>
      </c>
    </row>
    <row r="5" spans="1:5">
      <c r="A5" t="s">
        <v>17</v>
      </c>
    </row>
    <row r="7" spans="1:5">
      <c r="A7" t="s">
        <v>0</v>
      </c>
      <c r="D7" t="s">
        <v>5</v>
      </c>
      <c r="E7" t="s">
        <v>1</v>
      </c>
    </row>
    <row r="8" spans="1:5">
      <c r="A8" t="s">
        <v>4</v>
      </c>
      <c r="D8" t="s">
        <v>6</v>
      </c>
      <c r="E8" s="1">
        <v>178.95</v>
      </c>
    </row>
    <row r="9" spans="1:5">
      <c r="A9" t="s">
        <v>7</v>
      </c>
      <c r="D9" t="s">
        <v>6</v>
      </c>
      <c r="E9" s="1">
        <v>111.75</v>
      </c>
    </row>
    <row r="10" spans="1:5">
      <c r="A10" t="s">
        <v>8</v>
      </c>
      <c r="D10" t="s">
        <v>6</v>
      </c>
      <c r="E10" s="1">
        <v>158.77000000000001</v>
      </c>
    </row>
    <row r="11" spans="1:5">
      <c r="A11" t="s">
        <v>9</v>
      </c>
      <c r="D11" t="s">
        <v>10</v>
      </c>
      <c r="E11" s="1">
        <v>40.799999999999997</v>
      </c>
    </row>
    <row r="12" spans="1:5">
      <c r="A12" t="s">
        <v>11</v>
      </c>
      <c r="D12" t="s">
        <v>6</v>
      </c>
      <c r="E12" s="1">
        <v>87.58</v>
      </c>
    </row>
    <row r="13" spans="1:5">
      <c r="A13" t="s">
        <v>12</v>
      </c>
      <c r="D13" t="s">
        <v>6</v>
      </c>
      <c r="E13" s="1">
        <v>93.25</v>
      </c>
    </row>
    <row r="14" spans="1:5">
      <c r="A14" t="s">
        <v>24</v>
      </c>
      <c r="D14" t="s">
        <v>13</v>
      </c>
      <c r="E14" s="1">
        <v>40.5</v>
      </c>
    </row>
    <row r="15" spans="1:5">
      <c r="A15" t="s">
        <v>14</v>
      </c>
      <c r="D15" t="s">
        <v>15</v>
      </c>
      <c r="E15" s="1">
        <v>74.62</v>
      </c>
    </row>
    <row r="16" spans="1:5">
      <c r="A16" t="s">
        <v>19</v>
      </c>
      <c r="E16" s="1">
        <v>117.36</v>
      </c>
    </row>
    <row r="17" spans="1:7">
      <c r="E17" s="1">
        <f>SUM(E8:E16)</f>
        <v>903.58</v>
      </c>
      <c r="G17" s="1">
        <f>E17</f>
        <v>903.58</v>
      </c>
    </row>
    <row r="19" spans="1:7">
      <c r="A19" t="s">
        <v>18</v>
      </c>
    </row>
    <row r="21" spans="1:7">
      <c r="A21" t="s">
        <v>0</v>
      </c>
      <c r="D21" t="s">
        <v>16</v>
      </c>
      <c r="E21" t="s">
        <v>1</v>
      </c>
    </row>
    <row r="22" spans="1:7">
      <c r="A22" t="s">
        <v>20</v>
      </c>
      <c r="D22" t="s">
        <v>13</v>
      </c>
      <c r="E22" s="1">
        <v>52</v>
      </c>
    </row>
    <row r="23" spans="1:7">
      <c r="A23" t="s">
        <v>21</v>
      </c>
      <c r="D23" t="s">
        <v>15</v>
      </c>
      <c r="E23" s="1">
        <v>112</v>
      </c>
    </row>
    <row r="24" spans="1:7">
      <c r="A24" t="s">
        <v>22</v>
      </c>
      <c r="D24" t="s">
        <v>13</v>
      </c>
      <c r="E24" s="1">
        <v>52</v>
      </c>
    </row>
    <row r="25" spans="1:7">
      <c r="A25" t="s">
        <v>23</v>
      </c>
      <c r="D25" t="s">
        <v>13</v>
      </c>
      <c r="E25" s="1">
        <v>52</v>
      </c>
    </row>
    <row r="26" spans="1:7">
      <c r="A26" t="s">
        <v>24</v>
      </c>
      <c r="D26" t="s">
        <v>13</v>
      </c>
      <c r="E26" s="1">
        <v>109.9</v>
      </c>
    </row>
    <row r="27" spans="1:7">
      <c r="A27" t="s">
        <v>25</v>
      </c>
      <c r="D27" t="s">
        <v>10</v>
      </c>
      <c r="E27" s="1">
        <v>132.59</v>
      </c>
    </row>
    <row r="28" spans="1:7">
      <c r="A28" t="s">
        <v>26</v>
      </c>
      <c r="D28" t="s">
        <v>15</v>
      </c>
      <c r="E28" s="1">
        <v>89.25</v>
      </c>
    </row>
    <row r="29" spans="1:7">
      <c r="E29" s="1">
        <f>SUM(E22:E28)</f>
        <v>599.74</v>
      </c>
      <c r="G29" s="1">
        <f>E29</f>
        <v>599.74</v>
      </c>
    </row>
    <row r="30" spans="1:7">
      <c r="E30" s="1"/>
    </row>
    <row r="31" spans="1:7">
      <c r="A31" t="s">
        <v>27</v>
      </c>
    </row>
    <row r="33" spans="1:7">
      <c r="A33" t="s">
        <v>28</v>
      </c>
      <c r="D33" t="s">
        <v>6</v>
      </c>
      <c r="E33" s="1">
        <v>61.9</v>
      </c>
    </row>
    <row r="34" spans="1:7">
      <c r="A34" t="s">
        <v>29</v>
      </c>
      <c r="D34" t="s">
        <v>15</v>
      </c>
      <c r="E34" s="1">
        <v>25.95</v>
      </c>
    </row>
    <row r="35" spans="1:7">
      <c r="A35" t="s">
        <v>33</v>
      </c>
      <c r="D35" t="s">
        <v>15</v>
      </c>
      <c r="E35" s="1">
        <v>16.8</v>
      </c>
    </row>
    <row r="36" spans="1:7">
      <c r="A36" t="s">
        <v>30</v>
      </c>
      <c r="D36" t="s">
        <v>6</v>
      </c>
      <c r="E36" s="1">
        <v>92.52</v>
      </c>
    </row>
    <row r="37" spans="1:7">
      <c r="A37" t="s">
        <v>31</v>
      </c>
      <c r="D37" t="s">
        <v>32</v>
      </c>
      <c r="E37" s="1">
        <v>118.04</v>
      </c>
    </row>
    <row r="38" spans="1:7">
      <c r="A38" t="s">
        <v>26</v>
      </c>
      <c r="D38" t="s">
        <v>15</v>
      </c>
      <c r="E38" s="1">
        <v>42.7</v>
      </c>
    </row>
    <row r="39" spans="1:7">
      <c r="E39" s="1">
        <f>SUM(E33:E38)</f>
        <v>357.90999999999997</v>
      </c>
      <c r="G39" s="1">
        <f>E39</f>
        <v>357.90999999999997</v>
      </c>
    </row>
    <row r="41" spans="1:7">
      <c r="A41" t="s">
        <v>34</v>
      </c>
      <c r="C41" t="s">
        <v>35</v>
      </c>
      <c r="F41" s="3" t="s">
        <v>36</v>
      </c>
      <c r="G41" s="1">
        <f>SUM(G17:G40)</f>
        <v>1861.23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Swansea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s.a.williamson</dc:creator>
  <cp:lastModifiedBy>s.a.williamson</cp:lastModifiedBy>
  <dcterms:created xsi:type="dcterms:W3CDTF">2014-04-02T07:49:56Z</dcterms:created>
  <dcterms:modified xsi:type="dcterms:W3CDTF">2014-11-13T13:26:26Z</dcterms:modified>
</cp:coreProperties>
</file>